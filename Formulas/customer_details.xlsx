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833\Desktop\My Folder\Data &amp; Analytics - Upskilling &amp; Articles\DA\Mini Tasks\Excel_Mini_Tasks\Formulas\"/>
    </mc:Choice>
  </mc:AlternateContent>
  <xr:revisionPtr revIDLastSave="0" documentId="13_ncr:1_{39E46D86-106A-45A2-AE08-E347FECB23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ul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7" i="1" l="1"/>
  <c r="M14" i="1"/>
  <c r="O2" i="1"/>
  <c r="M2" i="1"/>
  <c r="N2" i="1"/>
  <c r="S14" i="1"/>
  <c r="Q14" i="1"/>
  <c r="U3" i="1"/>
  <c r="U4" i="1"/>
  <c r="U5" i="1"/>
  <c r="U6" i="1"/>
  <c r="U7" i="1"/>
  <c r="U8" i="1"/>
  <c r="U9" i="1"/>
  <c r="U10" i="1"/>
  <c r="U11" i="1"/>
  <c r="U2" i="1"/>
  <c r="T3" i="1"/>
  <c r="T4" i="1"/>
  <c r="T5" i="1"/>
  <c r="T6" i="1"/>
  <c r="T7" i="1"/>
  <c r="T8" i="1"/>
  <c r="T9" i="1"/>
  <c r="T10" i="1"/>
  <c r="T11" i="1"/>
  <c r="T2" i="1"/>
  <c r="S3" i="1"/>
  <c r="S4" i="1"/>
  <c r="S5" i="1"/>
  <c r="S6" i="1"/>
  <c r="S7" i="1"/>
  <c r="S8" i="1"/>
  <c r="S9" i="1"/>
  <c r="S10" i="1"/>
  <c r="S11" i="1"/>
  <c r="S2" i="1"/>
  <c r="Q3" i="1"/>
  <c r="Q4" i="1"/>
  <c r="Q5" i="1"/>
  <c r="Q6" i="1"/>
  <c r="Q7" i="1"/>
  <c r="Q8" i="1"/>
  <c r="Q9" i="1"/>
  <c r="Q10" i="1"/>
  <c r="Q11" i="1"/>
  <c r="Q2" i="1"/>
  <c r="R3" i="1"/>
  <c r="R4" i="1"/>
  <c r="R5" i="1"/>
  <c r="R6" i="1"/>
  <c r="R7" i="1"/>
  <c r="R8" i="1"/>
  <c r="R9" i="1"/>
  <c r="R10" i="1"/>
  <c r="R11" i="1"/>
  <c r="R2" i="1"/>
  <c r="P3" i="1"/>
  <c r="P4" i="1"/>
  <c r="P5" i="1"/>
  <c r="P6" i="1"/>
  <c r="P7" i="1"/>
  <c r="P8" i="1"/>
  <c r="P9" i="1"/>
  <c r="P10" i="1"/>
  <c r="P11" i="1"/>
  <c r="P2" i="1"/>
  <c r="O3" i="1"/>
  <c r="O4" i="1"/>
  <c r="O5" i="1"/>
  <c r="O6" i="1"/>
  <c r="O7" i="1"/>
  <c r="O8" i="1"/>
  <c r="O9" i="1"/>
  <c r="O10" i="1"/>
  <c r="O11" i="1"/>
  <c r="N3" i="1"/>
  <c r="N4" i="1"/>
  <c r="N5" i="1"/>
  <c r="N6" i="1"/>
  <c r="N7" i="1"/>
  <c r="N8" i="1"/>
  <c r="N9" i="1"/>
  <c r="N10" i="1"/>
  <c r="N11" i="1"/>
  <c r="M4" i="1" l="1"/>
  <c r="L4" i="1"/>
  <c r="M3" i="1"/>
  <c r="L3" i="1"/>
  <c r="L2" i="1"/>
</calcChain>
</file>

<file path=xl/sharedStrings.xml><?xml version="1.0" encoding="utf-8"?>
<sst xmlns="http://schemas.openxmlformats.org/spreadsheetml/2006/main" count="107" uniqueCount="77">
  <si>
    <t>Order ID</t>
  </si>
  <si>
    <t>First Name</t>
  </si>
  <si>
    <t>Last Name</t>
  </si>
  <si>
    <t>Full Name</t>
  </si>
  <si>
    <t>Age</t>
  </si>
  <si>
    <t>Gender</t>
  </si>
  <si>
    <t>Address</t>
  </si>
  <si>
    <t>Order Total</t>
  </si>
  <si>
    <t>Ordered Date</t>
  </si>
  <si>
    <t>Returned</t>
  </si>
  <si>
    <t>Email</t>
  </si>
  <si>
    <t>Martin</t>
  </si>
  <si>
    <t>Hudson</t>
  </si>
  <si>
    <t>Martin Hudson</t>
  </si>
  <si>
    <t>Male</t>
  </si>
  <si>
    <t>TX, USA</t>
  </si>
  <si>
    <t>12/13/2025</t>
  </si>
  <si>
    <t>Yes</t>
  </si>
  <si>
    <t>martin.hudson@gmail.com</t>
  </si>
  <si>
    <t>Sara</t>
  </si>
  <si>
    <t>Marine</t>
  </si>
  <si>
    <t>Sara Marine</t>
  </si>
  <si>
    <t>Female</t>
  </si>
  <si>
    <t>CA, USA</t>
  </si>
  <si>
    <t>12/07/2025</t>
  </si>
  <si>
    <t>No</t>
  </si>
  <si>
    <t>sara_marine@gmail.com</t>
  </si>
  <si>
    <t>Samantha</t>
  </si>
  <si>
    <t>Doe</t>
  </si>
  <si>
    <t>Samantha Doe</t>
  </si>
  <si>
    <t>NY, USA</t>
  </si>
  <si>
    <t>12/12/2025</t>
  </si>
  <si>
    <t>samantha_d@gmail.com</t>
  </si>
  <si>
    <t>Kevin</t>
  </si>
  <si>
    <t>Elevin</t>
  </si>
  <si>
    <t>Kevin Elevin</t>
  </si>
  <si>
    <t>11/29/2025</t>
  </si>
  <si>
    <t>kevin_el@gmail.com</t>
  </si>
  <si>
    <t>Thomas</t>
  </si>
  <si>
    <t>Tenision</t>
  </si>
  <si>
    <t>Thomas Tenision</t>
  </si>
  <si>
    <t>11/28/2025</t>
  </si>
  <si>
    <t>tenisionthomas@gmail.com</t>
  </si>
  <si>
    <t>Camelia</t>
  </si>
  <si>
    <t>Byers</t>
  </si>
  <si>
    <t>Camelia Byers</t>
  </si>
  <si>
    <t>11/30/2025</t>
  </si>
  <si>
    <t>camelia.byers@yahoo.com</t>
  </si>
  <si>
    <t>Jonathan</t>
  </si>
  <si>
    <t>Brown</t>
  </si>
  <si>
    <t>Jonathan Brown</t>
  </si>
  <si>
    <t>NJ, USA</t>
  </si>
  <si>
    <t>john.brown@yahoo.com</t>
  </si>
  <si>
    <t>Mickael</t>
  </si>
  <si>
    <t>Stanley</t>
  </si>
  <si>
    <t>Mickael Stanley</t>
  </si>
  <si>
    <t>mickael.stanly@gmail.com</t>
  </si>
  <si>
    <t>Michael</t>
  </si>
  <si>
    <t>More</t>
  </si>
  <si>
    <t>Michael More</t>
  </si>
  <si>
    <t>12/03/2025</t>
  </si>
  <si>
    <t>michaelmore@yahoo.com</t>
  </si>
  <si>
    <t xml:space="preserve"> </t>
  </si>
  <si>
    <t>MAX</t>
  </si>
  <si>
    <t>MIN</t>
  </si>
  <si>
    <t>LEN (user full name)</t>
  </si>
  <si>
    <t>IF (age)</t>
  </si>
  <si>
    <t>IFS (return status)</t>
  </si>
  <si>
    <t>LEFT (gender)</t>
  </si>
  <si>
    <t>RIGHT (order ID)</t>
  </si>
  <si>
    <t>TEXT (date)</t>
  </si>
  <si>
    <t>CONCATENATE (order ID and Address)</t>
  </si>
  <si>
    <t xml:space="preserve">SUBSTITUTE (date) </t>
  </si>
  <si>
    <t>SUM IFS (order total with No return status from selected area)</t>
  </si>
  <si>
    <t>SUM IF (order total range)</t>
  </si>
  <si>
    <t>COUNT IF (order total)</t>
  </si>
  <si>
    <t>COUNT IFS (returned orders less than age 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</si>
</sst>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14" fontId="2" fillId="0" borderId="1" xfId="1" applyNumberFormat="1" applyBorder="1" applyAlignment="1">
      <alignment horizontal="left"/>
    </xf>
    <xf numFmtId="0" fontId="2" fillId="0" borderId="1" xfId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0" borderId="1" xfId="0" applyNumberFormat="1" applyBorder="1"/>
    <xf numFmtId="0" fontId="0" fillId="0" borderId="0" xfId="0" applyNumberFormat="1"/>
    <xf numFmtId="14" fontId="0" fillId="0" borderId="1" xfId="0" applyNumberFormat="1" applyBorder="1" applyAlignment="1">
      <alignment horizontal="left"/>
    </xf>
    <xf numFmtId="2" fontId="1" fillId="2" borderId="1" xfId="0" applyNumberFormat="1" applyFont="1" applyFill="1" applyBorder="1" applyAlignment="1">
      <alignment horizontal="center"/>
    </xf>
    <xf numFmtId="2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2" borderId="3" xfId="0" applyFont="1" applyFill="1" applyBorder="1" applyAlignment="1"/>
    <xf numFmtId="0" fontId="1" fillId="2" borderId="4" xfId="0" applyFont="1" applyFill="1" applyBorder="1" applyAlignment="1"/>
    <xf numFmtId="0" fontId="1" fillId="2" borderId="5" xfId="0" applyFont="1" applyFill="1" applyBorder="1" applyAlignment="1"/>
    <xf numFmtId="0" fontId="1" fillId="2" borderId="1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mantha_d@gmail.com" TargetMode="External"/><Relationship Id="rId3" Type="http://schemas.openxmlformats.org/officeDocument/2006/relationships/hyperlink" Target="mailto:kevin_el@gmail.com" TargetMode="External"/><Relationship Id="rId7" Type="http://schemas.openxmlformats.org/officeDocument/2006/relationships/hyperlink" Target="mailto:mickael.stanly@gmail.com" TargetMode="External"/><Relationship Id="rId2" Type="http://schemas.openxmlformats.org/officeDocument/2006/relationships/hyperlink" Target="mailto:sara_marine@gmail.com" TargetMode="External"/><Relationship Id="rId1" Type="http://schemas.openxmlformats.org/officeDocument/2006/relationships/hyperlink" Target="mailto:martin.hudson@gmail.com" TargetMode="External"/><Relationship Id="rId6" Type="http://schemas.openxmlformats.org/officeDocument/2006/relationships/hyperlink" Target="mailto:john.brown@yahoo.com" TargetMode="External"/><Relationship Id="rId5" Type="http://schemas.openxmlformats.org/officeDocument/2006/relationships/hyperlink" Target="mailto:camelia.byers@yahoo.com" TargetMode="External"/><Relationship Id="rId10" Type="http://schemas.openxmlformats.org/officeDocument/2006/relationships/hyperlink" Target="mailto:samantha_d@gmail.com" TargetMode="External"/><Relationship Id="rId4" Type="http://schemas.openxmlformats.org/officeDocument/2006/relationships/hyperlink" Target="mailto:tenisionthomas@gmail.com" TargetMode="External"/><Relationship Id="rId9" Type="http://schemas.openxmlformats.org/officeDocument/2006/relationships/hyperlink" Target="mailto:michaelmore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"/>
  <sheetViews>
    <sheetView tabSelected="1" workbookViewId="0">
      <selection activeCell="Q11" sqref="Q11"/>
    </sheetView>
  </sheetViews>
  <sheetFormatPr defaultRowHeight="14.5" x14ac:dyDescent="0.35"/>
  <cols>
    <col min="1" max="1" width="15.26953125" customWidth="1"/>
    <col min="2" max="2" width="14.90625" customWidth="1"/>
    <col min="3" max="3" width="15.90625" customWidth="1"/>
    <col min="4" max="4" width="22.90625" customWidth="1"/>
    <col min="6" max="6" width="10" customWidth="1"/>
    <col min="7" max="7" width="14" customWidth="1"/>
    <col min="8" max="8" width="14.36328125" customWidth="1"/>
    <col min="9" max="9" width="15.7265625" style="14" customWidth="1"/>
    <col min="10" max="10" width="10" customWidth="1"/>
    <col min="11" max="11" width="25.7265625" customWidth="1"/>
    <col min="12" max="13" width="10.81640625" bestFit="1" customWidth="1"/>
    <col min="14" max="14" width="6.90625" bestFit="1" customWidth="1"/>
    <col min="15" max="15" width="20" bestFit="1" customWidth="1"/>
    <col min="16" max="16" width="17.7265625" style="1" bestFit="1" customWidth="1"/>
    <col min="17" max="17" width="12.08984375" bestFit="1" customWidth="1"/>
    <col min="18" max="18" width="14.7265625" bestFit="1" customWidth="1"/>
    <col min="19" max="19" width="10.453125" bestFit="1" customWidth="1"/>
    <col min="20" max="20" width="32.54296875" bestFit="1" customWidth="1"/>
    <col min="21" max="21" width="17" bestFit="1" customWidth="1"/>
  </cols>
  <sheetData>
    <row r="1" spans="1:2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3" t="s">
        <v>8</v>
      </c>
      <c r="J1" s="2" t="s">
        <v>9</v>
      </c>
      <c r="K1" s="2" t="s">
        <v>10</v>
      </c>
      <c r="L1" s="2" t="s">
        <v>63</v>
      </c>
      <c r="M1" s="7" t="s">
        <v>64</v>
      </c>
      <c r="N1" s="7" t="s">
        <v>66</v>
      </c>
      <c r="O1" s="7" t="s">
        <v>67</v>
      </c>
      <c r="P1" s="7" t="s">
        <v>65</v>
      </c>
      <c r="Q1" s="2" t="s">
        <v>68</v>
      </c>
      <c r="R1" s="2" t="s">
        <v>69</v>
      </c>
      <c r="S1" s="2" t="s">
        <v>70</v>
      </c>
      <c r="T1" s="7" t="s">
        <v>71</v>
      </c>
      <c r="U1" s="2" t="s">
        <v>72</v>
      </c>
    </row>
    <row r="2" spans="1:21" x14ac:dyDescent="0.35">
      <c r="A2" s="3">
        <v>1020251201</v>
      </c>
      <c r="B2" s="3" t="s">
        <v>11</v>
      </c>
      <c r="C2" s="3" t="s">
        <v>12</v>
      </c>
      <c r="D2" s="3" t="s">
        <v>13</v>
      </c>
      <c r="E2" s="3">
        <v>30</v>
      </c>
      <c r="F2" s="3" t="s">
        <v>14</v>
      </c>
      <c r="G2" s="3" t="s">
        <v>15</v>
      </c>
      <c r="H2" s="3">
        <v>9000</v>
      </c>
      <c r="I2" s="12" t="s">
        <v>16</v>
      </c>
      <c r="J2" s="4" t="s">
        <v>17</v>
      </c>
      <c r="K2" s="5" t="s">
        <v>18</v>
      </c>
      <c r="L2" s="8">
        <f>MAX(H2:H11)</f>
        <v>16000</v>
      </c>
      <c r="M2" s="8">
        <f>MIN(H2:H11)</f>
        <v>800</v>
      </c>
      <c r="N2" s="8" t="str">
        <f>IF(E2:E11 &gt;30, "Old", "Young")</f>
        <v>Young</v>
      </c>
      <c r="O2" s="8" t="str">
        <f>_xlfn.IFS(J2:J11 = "Yes", "Customer Not Satisfied", J2:J11 = "No", "Customer Satisfied")</f>
        <v>Customer Not Satisfied</v>
      </c>
      <c r="P2" s="3">
        <f>LEN(D2:D11)</f>
        <v>13</v>
      </c>
      <c r="Q2" s="8" t="str">
        <f>LEFT(F2:F11, 1)</f>
        <v>M</v>
      </c>
      <c r="R2" s="8" t="str">
        <f>RIGHT(A2:A11, 3)</f>
        <v>201</v>
      </c>
      <c r="S2" s="8" t="str">
        <f>TEXT(I2:I11, "dd/mm/yyyy")</f>
        <v>13/12/2025</v>
      </c>
      <c r="T2" s="8" t="str">
        <f>_xlfn.CONCAT(A2, " - ", G2)</f>
        <v>1020251201 - TX, USA</v>
      </c>
      <c r="U2" s="8" t="str">
        <f>SUBSTITUTE(I2:I11, "/", ".")</f>
        <v>12.13.2025</v>
      </c>
    </row>
    <row r="3" spans="1:21" x14ac:dyDescent="0.35">
      <c r="A3" s="3">
        <v>1020251202</v>
      </c>
      <c r="B3" s="3" t="s">
        <v>19</v>
      </c>
      <c r="C3" s="3" t="s">
        <v>20</v>
      </c>
      <c r="D3" s="3" t="s">
        <v>21</v>
      </c>
      <c r="E3" s="3">
        <v>28</v>
      </c>
      <c r="F3" s="3" t="s">
        <v>22</v>
      </c>
      <c r="G3" s="3" t="s">
        <v>23</v>
      </c>
      <c r="H3" s="3">
        <v>2000</v>
      </c>
      <c r="I3" s="12" t="s">
        <v>24</v>
      </c>
      <c r="J3" s="4" t="s">
        <v>25</v>
      </c>
      <c r="K3" s="5" t="s">
        <v>26</v>
      </c>
      <c r="L3" s="10">
        <f>MAX(A2:A11)</f>
        <v>1020251210</v>
      </c>
      <c r="M3" s="10">
        <f>MIN(A2:A11)</f>
        <v>1020251201</v>
      </c>
      <c r="N3" s="8" t="str">
        <f t="shared" ref="N3:N11" si="0">IF(E3:E12 &gt;30, "Old", "Young")</f>
        <v>Young</v>
      </c>
      <c r="O3" s="8" t="str">
        <f t="shared" ref="O3:O11" si="1">_xlfn.IFS(J3:J12 = "Yes", "Customer Not Satisfied", J3:J12 = "No", "Customer Satisfied")</f>
        <v>Customer Satisfied</v>
      </c>
      <c r="P3" s="3">
        <f t="shared" ref="P3:P11" si="2">LEN(D3:D12)</f>
        <v>11</v>
      </c>
      <c r="Q3" s="8" t="str">
        <f t="shared" ref="Q3:Q11" si="3">LEFT(F3:F12, 1)</f>
        <v>F</v>
      </c>
      <c r="R3" s="8" t="str">
        <f t="shared" ref="R3:R11" si="4">RIGHT(A3:A12, 3)</f>
        <v>202</v>
      </c>
      <c r="S3" s="8" t="str">
        <f t="shared" ref="S3:S11" si="5">TEXT(I3:I12, "dd/mm/yyyy")</f>
        <v>07/12/2025</v>
      </c>
      <c r="T3" s="8" t="str">
        <f t="shared" ref="T3:T11" si="6">_xlfn.CONCAT(A3, " - ", G3)</f>
        <v>1020251202 - CA, USA</v>
      </c>
      <c r="U3" s="8" t="str">
        <f t="shared" ref="U3:U11" si="7">SUBSTITUTE(I3:I12, "/", ".")</f>
        <v>12.07.2025</v>
      </c>
    </row>
    <row r="4" spans="1:21" x14ac:dyDescent="0.35">
      <c r="A4" s="3">
        <v>1020251209</v>
      </c>
      <c r="B4" s="3" t="s">
        <v>27</v>
      </c>
      <c r="C4" s="3" t="s">
        <v>28</v>
      </c>
      <c r="D4" s="3" t="s">
        <v>29</v>
      </c>
      <c r="E4" s="3">
        <v>31</v>
      </c>
      <c r="F4" s="3" t="s">
        <v>22</v>
      </c>
      <c r="G4" s="3" t="s">
        <v>30</v>
      </c>
      <c r="H4" s="3">
        <v>6800</v>
      </c>
      <c r="I4" s="12" t="s">
        <v>31</v>
      </c>
      <c r="J4" s="4" t="s">
        <v>25</v>
      </c>
      <c r="K4" s="5" t="s">
        <v>32</v>
      </c>
      <c r="L4" s="10">
        <f>MAX(E2:E11)</f>
        <v>35</v>
      </c>
      <c r="M4" s="10">
        <f>MIN(E2:E11)</f>
        <v>26</v>
      </c>
      <c r="N4" s="8" t="str">
        <f t="shared" si="0"/>
        <v>Old</v>
      </c>
      <c r="O4" s="8" t="str">
        <f t="shared" si="1"/>
        <v>Customer Satisfied</v>
      </c>
      <c r="P4" s="3">
        <f t="shared" si="2"/>
        <v>12</v>
      </c>
      <c r="Q4" s="8" t="str">
        <f t="shared" si="3"/>
        <v>F</v>
      </c>
      <c r="R4" s="8" t="str">
        <f t="shared" si="4"/>
        <v>209</v>
      </c>
      <c r="S4" s="8" t="str">
        <f t="shared" si="5"/>
        <v>12/12/2025</v>
      </c>
      <c r="T4" s="8" t="str">
        <f t="shared" si="6"/>
        <v>1020251209 - NY, USA</v>
      </c>
      <c r="U4" s="8" t="str">
        <f t="shared" si="7"/>
        <v>12.12.2025</v>
      </c>
    </row>
    <row r="5" spans="1:21" x14ac:dyDescent="0.35">
      <c r="A5" s="3">
        <v>1020251204</v>
      </c>
      <c r="B5" s="3" t="s">
        <v>33</v>
      </c>
      <c r="C5" s="3" t="s">
        <v>34</v>
      </c>
      <c r="D5" s="3" t="s">
        <v>35</v>
      </c>
      <c r="E5" s="3">
        <v>27</v>
      </c>
      <c r="F5" s="3" t="s">
        <v>14</v>
      </c>
      <c r="G5" s="3" t="s">
        <v>30</v>
      </c>
      <c r="H5" s="3">
        <v>16000</v>
      </c>
      <c r="I5" s="12" t="s">
        <v>36</v>
      </c>
      <c r="J5" s="4" t="s">
        <v>25</v>
      </c>
      <c r="K5" s="5" t="s">
        <v>37</v>
      </c>
      <c r="L5" s="9"/>
      <c r="M5" s="10"/>
      <c r="N5" s="8" t="str">
        <f t="shared" si="0"/>
        <v>Young</v>
      </c>
      <c r="O5" s="8" t="str">
        <f t="shared" si="1"/>
        <v>Customer Satisfied</v>
      </c>
      <c r="P5" s="3">
        <f t="shared" si="2"/>
        <v>12</v>
      </c>
      <c r="Q5" s="8" t="str">
        <f t="shared" si="3"/>
        <v>M</v>
      </c>
      <c r="R5" s="8" t="str">
        <f t="shared" si="4"/>
        <v>204</v>
      </c>
      <c r="S5" s="8" t="str">
        <f t="shared" si="5"/>
        <v>29/11/2025</v>
      </c>
      <c r="T5" s="8" t="str">
        <f t="shared" si="6"/>
        <v>1020251204 - NY, USA</v>
      </c>
      <c r="U5" s="8" t="str">
        <f t="shared" si="7"/>
        <v>11.29.2025</v>
      </c>
    </row>
    <row r="6" spans="1:21" x14ac:dyDescent="0.35">
      <c r="A6" s="3">
        <v>1020251205</v>
      </c>
      <c r="B6" s="3" t="s">
        <v>38</v>
      </c>
      <c r="C6" s="3" t="s">
        <v>39</v>
      </c>
      <c r="D6" s="3" t="s">
        <v>40</v>
      </c>
      <c r="E6" s="3">
        <v>32</v>
      </c>
      <c r="F6" s="3" t="s">
        <v>14</v>
      </c>
      <c r="G6" s="3" t="s">
        <v>23</v>
      </c>
      <c r="H6" s="3">
        <v>7000</v>
      </c>
      <c r="I6" s="12" t="s">
        <v>41</v>
      </c>
      <c r="J6" s="4" t="s">
        <v>17</v>
      </c>
      <c r="K6" s="5" t="s">
        <v>42</v>
      </c>
      <c r="L6" s="11"/>
      <c r="M6" s="10"/>
      <c r="N6" s="8" t="str">
        <f t="shared" si="0"/>
        <v>Old</v>
      </c>
      <c r="O6" s="8" t="str">
        <f t="shared" si="1"/>
        <v>Customer Not Satisfied</v>
      </c>
      <c r="P6" s="3">
        <f t="shared" si="2"/>
        <v>15</v>
      </c>
      <c r="Q6" s="8" t="str">
        <f t="shared" si="3"/>
        <v>M</v>
      </c>
      <c r="R6" s="8" t="str">
        <f t="shared" si="4"/>
        <v>205</v>
      </c>
      <c r="S6" s="8" t="str">
        <f t="shared" si="5"/>
        <v>28/11/2025</v>
      </c>
      <c r="T6" s="8" t="str">
        <f t="shared" si="6"/>
        <v>1020251205 - CA, USA</v>
      </c>
      <c r="U6" s="8" t="str">
        <f t="shared" si="7"/>
        <v>11.28.2025</v>
      </c>
    </row>
    <row r="7" spans="1:21" x14ac:dyDescent="0.35">
      <c r="A7" s="3">
        <v>1020251206</v>
      </c>
      <c r="B7" s="3" t="s">
        <v>43</v>
      </c>
      <c r="C7" s="3" t="s">
        <v>44</v>
      </c>
      <c r="D7" s="3" t="s">
        <v>45</v>
      </c>
      <c r="E7" s="3">
        <v>35</v>
      </c>
      <c r="F7" s="3" t="s">
        <v>22</v>
      </c>
      <c r="G7" s="3" t="s">
        <v>23</v>
      </c>
      <c r="H7" s="3">
        <v>800</v>
      </c>
      <c r="I7" s="12" t="s">
        <v>46</v>
      </c>
      <c r="J7" s="4" t="s">
        <v>17</v>
      </c>
      <c r="K7" s="5" t="s">
        <v>47</v>
      </c>
      <c r="L7" s="10"/>
      <c r="M7" s="10"/>
      <c r="N7" s="8" t="str">
        <f t="shared" si="0"/>
        <v>Old</v>
      </c>
      <c r="O7" s="8" t="str">
        <f t="shared" si="1"/>
        <v>Customer Not Satisfied</v>
      </c>
      <c r="P7" s="3">
        <f t="shared" si="2"/>
        <v>13</v>
      </c>
      <c r="Q7" s="8" t="str">
        <f t="shared" si="3"/>
        <v>F</v>
      </c>
      <c r="R7" s="8" t="str">
        <f t="shared" si="4"/>
        <v>206</v>
      </c>
      <c r="S7" s="8" t="str">
        <f t="shared" si="5"/>
        <v>30/11/2025</v>
      </c>
      <c r="T7" s="8" t="str">
        <f t="shared" si="6"/>
        <v>1020251206 - CA, USA</v>
      </c>
      <c r="U7" s="8" t="str">
        <f t="shared" si="7"/>
        <v>11.30.2025</v>
      </c>
    </row>
    <row r="8" spans="1:21" x14ac:dyDescent="0.35">
      <c r="A8" s="3">
        <v>1020251207</v>
      </c>
      <c r="B8" s="3" t="s">
        <v>48</v>
      </c>
      <c r="C8" s="3" t="s">
        <v>49</v>
      </c>
      <c r="D8" s="3" t="s">
        <v>50</v>
      </c>
      <c r="E8" s="3">
        <v>26</v>
      </c>
      <c r="F8" s="3" t="s">
        <v>14</v>
      </c>
      <c r="G8" s="3" t="s">
        <v>51</v>
      </c>
      <c r="H8" s="3">
        <v>1200</v>
      </c>
      <c r="I8" s="12" t="s">
        <v>16</v>
      </c>
      <c r="J8" s="4" t="s">
        <v>25</v>
      </c>
      <c r="K8" s="5" t="s">
        <v>52</v>
      </c>
      <c r="L8" s="10"/>
      <c r="M8" s="10"/>
      <c r="N8" s="8" t="str">
        <f t="shared" si="0"/>
        <v>Young</v>
      </c>
      <c r="O8" s="8" t="str">
        <f t="shared" si="1"/>
        <v>Customer Satisfied</v>
      </c>
      <c r="P8" s="3">
        <f t="shared" si="2"/>
        <v>14</v>
      </c>
      <c r="Q8" s="8" t="str">
        <f t="shared" si="3"/>
        <v>M</v>
      </c>
      <c r="R8" s="8" t="str">
        <f t="shared" si="4"/>
        <v>207</v>
      </c>
      <c r="S8" s="8" t="str">
        <f t="shared" si="5"/>
        <v>13/12/2025</v>
      </c>
      <c r="T8" s="8" t="str">
        <f t="shared" si="6"/>
        <v>1020251207 - NJ, USA</v>
      </c>
      <c r="U8" s="8" t="str">
        <f t="shared" si="7"/>
        <v>12.13.2025</v>
      </c>
    </row>
    <row r="9" spans="1:21" x14ac:dyDescent="0.35">
      <c r="A9" s="3">
        <v>1020251208</v>
      </c>
      <c r="B9" s="3" t="s">
        <v>53</v>
      </c>
      <c r="C9" s="3" t="s">
        <v>54</v>
      </c>
      <c r="D9" s="3" t="s">
        <v>55</v>
      </c>
      <c r="E9" s="3">
        <v>32</v>
      </c>
      <c r="F9" s="3" t="s">
        <v>14</v>
      </c>
      <c r="G9" s="3" t="s">
        <v>51</v>
      </c>
      <c r="H9" s="3">
        <v>6000</v>
      </c>
      <c r="I9" s="12" t="s">
        <v>24</v>
      </c>
      <c r="J9" s="4" t="s">
        <v>25</v>
      </c>
      <c r="K9" s="5" t="s">
        <v>56</v>
      </c>
      <c r="L9" s="10"/>
      <c r="M9" s="10"/>
      <c r="N9" s="8" t="str">
        <f t="shared" si="0"/>
        <v>Old</v>
      </c>
      <c r="O9" s="8" t="str">
        <f t="shared" si="1"/>
        <v>Customer Satisfied</v>
      </c>
      <c r="P9" s="3">
        <f t="shared" si="2"/>
        <v>15</v>
      </c>
      <c r="Q9" s="8" t="str">
        <f t="shared" si="3"/>
        <v>M</v>
      </c>
      <c r="R9" s="8" t="str">
        <f t="shared" si="4"/>
        <v>208</v>
      </c>
      <c r="S9" s="8" t="str">
        <f t="shared" si="5"/>
        <v>07/12/2025</v>
      </c>
      <c r="T9" s="8" t="str">
        <f t="shared" si="6"/>
        <v>1020251208 - NJ, USA</v>
      </c>
      <c r="U9" s="8" t="str">
        <f t="shared" si="7"/>
        <v>12.07.2025</v>
      </c>
    </row>
    <row r="10" spans="1:21" x14ac:dyDescent="0.35">
      <c r="A10" s="3">
        <v>1020251209</v>
      </c>
      <c r="B10" s="3" t="s">
        <v>27</v>
      </c>
      <c r="C10" s="3" t="s">
        <v>28</v>
      </c>
      <c r="D10" s="3" t="s">
        <v>29</v>
      </c>
      <c r="E10" s="3">
        <v>31</v>
      </c>
      <c r="F10" s="3" t="s">
        <v>22</v>
      </c>
      <c r="G10" s="3" t="s">
        <v>30</v>
      </c>
      <c r="H10" s="3">
        <v>6800</v>
      </c>
      <c r="I10" s="12" t="s">
        <v>31</v>
      </c>
      <c r="J10" s="4" t="s">
        <v>25</v>
      </c>
      <c r="K10" s="5" t="s">
        <v>32</v>
      </c>
      <c r="L10" s="10"/>
      <c r="M10" s="10"/>
      <c r="N10" s="8" t="str">
        <f t="shared" si="0"/>
        <v>Old</v>
      </c>
      <c r="O10" s="8" t="str">
        <f t="shared" si="1"/>
        <v>Customer Satisfied</v>
      </c>
      <c r="P10" s="3">
        <f t="shared" si="2"/>
        <v>12</v>
      </c>
      <c r="Q10" s="8" t="str">
        <f t="shared" si="3"/>
        <v>F</v>
      </c>
      <c r="R10" s="8" t="str">
        <f t="shared" si="4"/>
        <v>209</v>
      </c>
      <c r="S10" s="8" t="str">
        <f t="shared" si="5"/>
        <v>12/12/2025</v>
      </c>
      <c r="T10" s="8" t="str">
        <f t="shared" si="6"/>
        <v>1020251209 - NY, USA</v>
      </c>
      <c r="U10" s="8" t="str">
        <f t="shared" si="7"/>
        <v>12.12.2025</v>
      </c>
    </row>
    <row r="11" spans="1:21" x14ac:dyDescent="0.35">
      <c r="A11" s="3">
        <v>1020251210</v>
      </c>
      <c r="B11" s="3" t="s">
        <v>57</v>
      </c>
      <c r="C11" s="3" t="s">
        <v>58</v>
      </c>
      <c r="D11" s="3" t="s">
        <v>59</v>
      </c>
      <c r="E11" s="3">
        <v>28</v>
      </c>
      <c r="F11" s="3" t="s">
        <v>14</v>
      </c>
      <c r="G11" s="3" t="s">
        <v>15</v>
      </c>
      <c r="H11" s="3">
        <v>7200</v>
      </c>
      <c r="I11" s="12" t="s">
        <v>60</v>
      </c>
      <c r="J11" s="3" t="s">
        <v>17</v>
      </c>
      <c r="K11" s="6" t="s">
        <v>61</v>
      </c>
      <c r="L11" s="10"/>
      <c r="M11" s="10"/>
      <c r="N11" s="8" t="str">
        <f t="shared" si="0"/>
        <v>Young</v>
      </c>
      <c r="O11" s="8" t="str">
        <f t="shared" si="1"/>
        <v>Customer Not Satisfied</v>
      </c>
      <c r="P11" s="3">
        <f t="shared" si="2"/>
        <v>12</v>
      </c>
      <c r="Q11" s="8" t="str">
        <f t="shared" si="3"/>
        <v>M</v>
      </c>
      <c r="R11" s="8" t="str">
        <f t="shared" si="4"/>
        <v>210</v>
      </c>
      <c r="S11" s="8" t="str">
        <f t="shared" si="5"/>
        <v>03/12/2025</v>
      </c>
      <c r="T11" s="8" t="str">
        <f t="shared" si="6"/>
        <v>1020251210 - TX, USA</v>
      </c>
      <c r="U11" s="8" t="str">
        <f t="shared" si="7"/>
        <v>12.03.2025</v>
      </c>
    </row>
    <row r="13" spans="1:21" x14ac:dyDescent="0.35">
      <c r="M13" s="20" t="s">
        <v>73</v>
      </c>
      <c r="N13" s="21"/>
      <c r="O13" s="21"/>
      <c r="P13" s="22"/>
      <c r="Q13" s="15" t="s">
        <v>74</v>
      </c>
      <c r="R13" s="15"/>
      <c r="S13" s="23" t="s">
        <v>75</v>
      </c>
      <c r="T13" s="23"/>
    </row>
    <row r="14" spans="1:21" x14ac:dyDescent="0.35">
      <c r="M14" s="17">
        <f>SUMIFS(H2:H11,J2:J11,"No",G2:G11,"NY, USA")</f>
        <v>29600</v>
      </c>
      <c r="N14" s="18"/>
      <c r="O14" s="18"/>
      <c r="P14" s="19"/>
      <c r="Q14" s="16">
        <f>SUMIF(H2:H11, "&gt;5000")</f>
        <v>58800</v>
      </c>
      <c r="R14" s="16"/>
      <c r="S14" s="16">
        <f>COUNTIF(H2:H11, "&gt;7000")</f>
        <v>3</v>
      </c>
      <c r="T14" s="16"/>
    </row>
    <row r="16" spans="1:21" x14ac:dyDescent="0.35">
      <c r="S16" s="15" t="s">
        <v>76</v>
      </c>
      <c r="T16" s="15"/>
    </row>
    <row r="17" spans="4:20" x14ac:dyDescent="0.35">
      <c r="S17" s="16">
        <f>COUNTIFS(E2:E11, "&lt;30", J2:J11, "Yes")</f>
        <v>1</v>
      </c>
      <c r="T17" s="16"/>
    </row>
    <row r="22" spans="4:20" x14ac:dyDescent="0.35">
      <c r="D22" s="1" t="s">
        <v>62</v>
      </c>
    </row>
    <row r="23" spans="4:20" x14ac:dyDescent="0.35">
      <c r="D23" s="1" t="s">
        <v>62</v>
      </c>
    </row>
  </sheetData>
  <mergeCells count="7">
    <mergeCell ref="S13:T13"/>
    <mergeCell ref="S14:T14"/>
    <mergeCell ref="S16:T16"/>
    <mergeCell ref="S17:T17"/>
    <mergeCell ref="M14:P14"/>
    <mergeCell ref="Q13:R13"/>
    <mergeCell ref="Q14:R14"/>
  </mergeCells>
  <hyperlinks>
    <hyperlink ref="K2" r:id="rId1" xr:uid="{7163C9A0-C4FC-4B6C-B109-27393E417BA8}"/>
    <hyperlink ref="K3" r:id="rId2" xr:uid="{A2B37DDA-759E-40EB-B94E-CDA2189A2138}"/>
    <hyperlink ref="K5" r:id="rId3" xr:uid="{3471CF8B-2055-4EDE-B23E-1D172FDA9F7B}"/>
    <hyperlink ref="K6" r:id="rId4" xr:uid="{2FA04C60-8942-4FD9-B412-8DB7D70D462A}"/>
    <hyperlink ref="K7" r:id="rId5" xr:uid="{C9E60716-49F6-4F57-9CD3-0D515FF5E401}"/>
    <hyperlink ref="K8" r:id="rId6" xr:uid="{6C52FECF-97BC-45EA-AFFF-51C56CE06F36}"/>
    <hyperlink ref="K9" r:id="rId7" xr:uid="{51E7EC1E-D1B4-40EC-A60E-B3AA17F326D1}"/>
    <hyperlink ref="K10" r:id="rId8" xr:uid="{A66E45C9-0FF6-41C9-BD95-F8796143DD73}"/>
    <hyperlink ref="K11" r:id="rId9" xr:uid="{6171056F-7FD1-4C99-BF8A-D92B98943CF1}"/>
    <hyperlink ref="K4" r:id="rId10" xr:uid="{61C120B4-5FDE-4790-8AEA-90E368DAB3EE}"/>
  </hyperlinks>
  <pageMargins left="0.7" right="0.7" top="0.75" bottom="0.75" header="0.3" footer="0.3"/>
  <ignoredErrors>
    <ignoredError sqref="N3:N11 R3:R1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Seelamsetti Vyshnavi</dc:creator>
  <cp:lastModifiedBy>Seelamsetti Vyshnavi</cp:lastModifiedBy>
  <dcterms:created xsi:type="dcterms:W3CDTF">2015-06-05T18:17:20Z</dcterms:created>
  <dcterms:modified xsi:type="dcterms:W3CDTF">2026-02-01T17:26:42Z</dcterms:modified>
</cp:coreProperties>
</file>