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833\Desktop\My Folder\Data &amp; Analytics - Upskilling &amp; Articles\DA\Mini Tasks\Excel_Mini_Tasks\Pivot Tables\"/>
    </mc:Choice>
  </mc:AlternateContent>
  <xr:revisionPtr revIDLastSave="0" documentId="13_ncr:1_{1F73B234-3C98-4F71-BADE-E85169779DE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_Data" sheetId="1" r:id="rId1"/>
    <sheet name="Pivot Table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<sst xmlns="http://schemas.openxmlformats.org/spreadsheetml/2006/main" count="237" uniqueCount="48">
  <si>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</si>
  <si>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</si>
  <si>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</si>
  <si>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</si>
  <si>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</si>
  <si>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</si>
  <si>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</si>
  <si>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</si>
  <si>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</si>
  <si>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</si>
  <si>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</si>
  <si>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</si>
  <si>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</si>
  <si>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</si>
  <si>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</si>
  <si>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</si>
  <si>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</si>
  <si>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</si>
  <si>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November</t>
  </si>
  <si>
    <t>Youth (&lt;25)</t>
  </si>
  <si>
    <t>M</t>
  </si>
  <si>
    <t>Canada</t>
  </si>
  <si>
    <t>British Columbia</t>
  </si>
  <si>
    <t>Accessories</t>
  </si>
  <si>
    <t>Bike Racks</t>
  </si>
  <si>
    <t>Hitch Rack - 4-Bike</t>
  </si>
  <si>
    <t>March</t>
  </si>
  <si>
    <t>Adults (35-64)</t>
  </si>
  <si>
    <t>Australia</t>
  </si>
  <si>
    <t>New South Wales</t>
  </si>
  <si>
    <t>May</t>
  </si>
  <si>
    <t>F</t>
  </si>
  <si>
    <t>Victoria</t>
  </si>
  <si>
    <t>February</t>
  </si>
  <si>
    <t>July</t>
  </si>
  <si>
    <t>Young Adults (25-34)</t>
  </si>
  <si>
    <t>August</t>
  </si>
  <si>
    <t>September</t>
  </si>
  <si>
    <t>January</t>
  </si>
  <si>
    <t>United States</t>
  </si>
  <si>
    <t>Oregon</t>
  </si>
  <si>
    <t>Row Labels</t>
  </si>
  <si>
    <t>Grand Total</t>
  </si>
  <si>
    <t>Sum of Revenue</t>
  </si>
  <si>
    <t>Sum of Cost</t>
  </si>
  <si>
    <t>Sum of Profit</t>
  </si>
  <si>
    <t>Sum of CalculatedField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</si>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</sst>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navi Seelamsetti" refreshedDate="46030.926294675926" createdVersion="8" refreshedVersion="8" minRefreshableVersion="3" recordCount="25" xr:uid="{F19E448B-9953-40EA-8598-B275EDB90122}">
  <cacheSource type="worksheet">
    <worksheetSource ref="A1:R26" sheet="Sales_Data"/>
  </cacheSource>
  <cacheFields count="19">
    <cacheField name="Date" numFmtId="14">
      <sharedItems containsSemiMixedTypes="0" containsNonDate="0" containsDate="1" containsString="0" minDate="2013-07-15T00:00:00" maxDate="2016-05-23T00:00:00"/>
    </cacheField>
    <cacheField name="Day" numFmtId="0">
      <sharedItems containsSemiMixedTypes="0" containsString="0" containsNumber="1" containsInteger="1" minValue="2" maxValue="30"/>
    </cacheField>
    <cacheField name="Month" numFmtId="0">
      <sharedItems/>
    </cacheField>
    <cacheField name="Year" numFmtId="0">
      <sharedItems containsSemiMixedTypes="0" containsString="0" containsNumber="1" containsInteger="1" minValue="2013" maxValue="2016" count="4">
        <n v="2013"/>
        <n v="2015"/>
        <n v="2014"/>
        <n v="2016"/>
      </sharedItems>
    </cacheField>
    <cacheField name="Customer_Age" numFmtId="0">
      <sharedItems containsSemiMixedTypes="0" containsString="0" containsNumber="1" containsInteger="1" minValue="19" maxValue="51"/>
    </cacheField>
    <cacheField name="Age_Group" numFmtId="0">
      <sharedItems/>
    </cacheField>
    <cacheField name="Customer_Gender" numFmtId="0">
      <sharedItems count="2">
        <s v="M"/>
        <s v="F"/>
      </sharedItems>
    </cacheField>
    <cacheField name="Country" numFmtId="0">
      <sharedItems count="3">
        <s v="Canada"/>
        <s v="Australia"/>
        <s v="United States"/>
      </sharedItems>
    </cacheField>
    <cacheField name="State" numFmtId="0">
      <sharedItems count="4">
        <s v="British Columbia"/>
        <s v="New South Wales"/>
        <s v="Victoria"/>
        <s v="Oregon"/>
      </sharedItems>
    </cacheField>
    <cacheField name="Product_Category" numFmtId="0">
      <sharedItems/>
    </cacheField>
    <cacheField name="Sub_Category" numFmtId="0">
      <sharedItems/>
    </cacheField>
    <cacheField name="Product" numFmtId="0">
      <sharedItems/>
    </cacheField>
    <cacheField name="Order_Quantity" numFmtId="0">
      <sharedItems containsSemiMixedTypes="0" containsString="0" containsNumber="1" containsInteger="1" minValue="1" maxValue="23"/>
    </cacheField>
    <cacheField name="Unit_Cost" numFmtId="0">
      <sharedItems containsSemiMixedTypes="0" containsString="0" containsNumber="1" containsInteger="1" minValue="45" maxValue="45"/>
    </cacheField>
    <cacheField name="Unit_Price" numFmtId="0">
      <sharedItems containsSemiMixedTypes="0" containsString="0" containsNumber="1" containsInteger="1" minValue="120" maxValue="120"/>
    </cacheField>
    <cacheField name="Profit" numFmtId="0">
      <sharedItems containsSemiMixedTypes="0" containsString="0" containsNumber="1" containsInteger="1" minValue="74" maxValue="1366"/>
    </cacheField>
    <cacheField name="Cost" numFmtId="0">
      <sharedItems containsSemiMixedTypes="0" containsString="0" containsNumber="1" containsInteger="1" minValue="45" maxValue="1035"/>
    </cacheField>
    <cacheField name="Revenue" numFmtId="0">
      <sharedItems containsSemiMixedTypes="0" containsString="0" containsNumber="1" containsInteger="1" minValue="119" maxValue="2401"/>
    </cacheField>
    <cacheField name="CalculatedField" numFmtId="0" formula="(Revenue-Cos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13-11-26T00:00:00"/>
    <n v="26"/>
    <s v="November"/>
    <x v="0"/>
    <n v="19"/>
    <s v="Youth (&lt;25)"/>
    <x v="0"/>
    <x v="0"/>
    <x v="0"/>
    <s v="Accessories"/>
    <s v="Bike Racks"/>
    <s v="Hitch Rack - 4-Bike"/>
    <n v="8"/>
    <n v="45"/>
    <n v="120"/>
    <n v="590"/>
    <n v="360"/>
    <n v="950"/>
  </r>
  <r>
    <d v="2015-11-26T00:00:00"/>
    <n v="26"/>
    <s v="November"/>
    <x v="1"/>
    <n v="19"/>
    <s v="Youth (&lt;25)"/>
    <x v="0"/>
    <x v="0"/>
    <x v="0"/>
    <s v="Accessories"/>
    <s v="Bike Racks"/>
    <s v="Hitch Rack - 4-Bike"/>
    <n v="8"/>
    <n v="45"/>
    <n v="120"/>
    <n v="590"/>
    <n v="360"/>
    <n v="950"/>
  </r>
  <r>
    <d v="2014-03-23T00:00:00"/>
    <n v="23"/>
    <s v="March"/>
    <x v="2"/>
    <n v="49"/>
    <s v="Adults (35-64)"/>
    <x v="0"/>
    <x v="1"/>
    <x v="1"/>
    <s v="Accessories"/>
    <s v="Bike Racks"/>
    <s v="Hitch Rack - 4-Bike"/>
    <n v="23"/>
    <n v="45"/>
    <n v="120"/>
    <n v="1366"/>
    <n v="1035"/>
    <n v="2401"/>
  </r>
  <r>
    <d v="2016-03-23T00:00:00"/>
    <n v="23"/>
    <s v="March"/>
    <x v="3"/>
    <n v="49"/>
    <s v="Adults (35-64)"/>
    <x v="0"/>
    <x v="1"/>
    <x v="1"/>
    <s v="Accessories"/>
    <s v="Bike Racks"/>
    <s v="Hitch Rack - 4-Bike"/>
    <n v="20"/>
    <n v="45"/>
    <n v="120"/>
    <n v="1188"/>
    <n v="900"/>
    <n v="2088"/>
  </r>
  <r>
    <d v="2014-05-15T00:00:00"/>
    <n v="15"/>
    <s v="May"/>
    <x v="2"/>
    <n v="47"/>
    <s v="Adults (35-64)"/>
    <x v="1"/>
    <x v="1"/>
    <x v="1"/>
    <s v="Accessories"/>
    <s v="Bike Racks"/>
    <s v="Hitch Rack - 4-Bike"/>
    <n v="4"/>
    <n v="45"/>
    <n v="120"/>
    <n v="238"/>
    <n v="180"/>
    <n v="418"/>
  </r>
  <r>
    <d v="2016-05-15T00:00:00"/>
    <n v="15"/>
    <s v="May"/>
    <x v="3"/>
    <n v="47"/>
    <s v="Adults (35-64)"/>
    <x v="1"/>
    <x v="1"/>
    <x v="1"/>
    <s v="Accessories"/>
    <s v="Bike Racks"/>
    <s v="Hitch Rack - 4-Bike"/>
    <n v="5"/>
    <n v="45"/>
    <n v="120"/>
    <n v="297"/>
    <n v="225"/>
    <n v="522"/>
  </r>
  <r>
    <d v="2014-05-22T00:00:00"/>
    <n v="22"/>
    <s v="May"/>
    <x v="2"/>
    <n v="47"/>
    <s v="Adults (35-64)"/>
    <x v="1"/>
    <x v="1"/>
    <x v="2"/>
    <s v="Accessories"/>
    <s v="Bike Racks"/>
    <s v="Hitch Rack - 4-Bike"/>
    <n v="4"/>
    <n v="45"/>
    <n v="120"/>
    <n v="199"/>
    <n v="180"/>
    <n v="379"/>
  </r>
  <r>
    <d v="2016-05-22T00:00:00"/>
    <n v="22"/>
    <s v="May"/>
    <x v="3"/>
    <n v="47"/>
    <s v="Adults (35-64)"/>
    <x v="1"/>
    <x v="1"/>
    <x v="2"/>
    <s v="Accessories"/>
    <s v="Bike Racks"/>
    <s v="Hitch Rack - 4-Bike"/>
    <n v="2"/>
    <n v="45"/>
    <n v="120"/>
    <n v="100"/>
    <n v="90"/>
    <n v="190"/>
  </r>
  <r>
    <d v="2014-02-22T00:00:00"/>
    <n v="22"/>
    <s v="February"/>
    <x v="2"/>
    <n v="35"/>
    <s v="Adults (35-64)"/>
    <x v="0"/>
    <x v="1"/>
    <x v="2"/>
    <s v="Accessories"/>
    <s v="Bike Racks"/>
    <s v="Hitch Rack - 4-Bike"/>
    <n v="22"/>
    <n v="45"/>
    <n v="120"/>
    <n v="1096"/>
    <n v="990"/>
    <n v="2086"/>
  </r>
  <r>
    <d v="2016-02-22T00:00:00"/>
    <n v="22"/>
    <s v="February"/>
    <x v="3"/>
    <n v="35"/>
    <s v="Adults (35-64)"/>
    <x v="0"/>
    <x v="1"/>
    <x v="2"/>
    <s v="Accessories"/>
    <s v="Bike Racks"/>
    <s v="Hitch Rack - 4-Bike"/>
    <n v="21"/>
    <n v="45"/>
    <n v="120"/>
    <n v="1046"/>
    <n v="945"/>
    <n v="1991"/>
  </r>
  <r>
    <d v="2013-07-30T00:00:00"/>
    <n v="30"/>
    <s v="July"/>
    <x v="0"/>
    <n v="32"/>
    <s v="Young Adults (25-34)"/>
    <x v="1"/>
    <x v="1"/>
    <x v="2"/>
    <s v="Accessories"/>
    <s v="Bike Racks"/>
    <s v="Hitch Rack - 4-Bike"/>
    <n v="8"/>
    <n v="45"/>
    <n v="120"/>
    <n v="398"/>
    <n v="360"/>
    <n v="758"/>
  </r>
  <r>
    <d v="2015-07-30T00:00:00"/>
    <n v="30"/>
    <s v="July"/>
    <x v="1"/>
    <n v="32"/>
    <s v="Young Adults (25-34)"/>
    <x v="1"/>
    <x v="1"/>
    <x v="2"/>
    <s v="Accessories"/>
    <s v="Bike Racks"/>
    <s v="Hitch Rack - 4-Bike"/>
    <n v="8"/>
    <n v="45"/>
    <n v="120"/>
    <n v="398"/>
    <n v="360"/>
    <n v="758"/>
  </r>
  <r>
    <d v="2013-07-15T00:00:00"/>
    <n v="15"/>
    <s v="July"/>
    <x v="0"/>
    <n v="34"/>
    <s v="Young Adults (25-34)"/>
    <x v="0"/>
    <x v="1"/>
    <x v="2"/>
    <s v="Accessories"/>
    <s v="Bike Racks"/>
    <s v="Hitch Rack - 4-Bike"/>
    <n v="7"/>
    <n v="45"/>
    <n v="120"/>
    <n v="349"/>
    <n v="315"/>
    <n v="664"/>
  </r>
  <r>
    <d v="2015-07-15T00:00:00"/>
    <n v="15"/>
    <s v="July"/>
    <x v="1"/>
    <n v="34"/>
    <s v="Young Adults (25-34)"/>
    <x v="0"/>
    <x v="1"/>
    <x v="2"/>
    <s v="Accessories"/>
    <s v="Bike Racks"/>
    <s v="Hitch Rack - 4-Bike"/>
    <n v="7"/>
    <n v="45"/>
    <n v="120"/>
    <n v="349"/>
    <n v="315"/>
    <n v="664"/>
  </r>
  <r>
    <d v="2013-08-02T00:00:00"/>
    <n v="2"/>
    <s v="August"/>
    <x v="0"/>
    <n v="29"/>
    <s v="Young Adults (25-34)"/>
    <x v="0"/>
    <x v="0"/>
    <x v="0"/>
    <s v="Accessories"/>
    <s v="Bike Racks"/>
    <s v="Hitch Rack - 4-Bike"/>
    <n v="5"/>
    <n v="45"/>
    <n v="120"/>
    <n v="369"/>
    <n v="225"/>
    <n v="594"/>
  </r>
  <r>
    <d v="2015-08-02T00:00:00"/>
    <n v="2"/>
    <s v="August"/>
    <x v="1"/>
    <n v="29"/>
    <s v="Young Adults (25-34)"/>
    <x v="0"/>
    <x v="0"/>
    <x v="0"/>
    <s v="Accessories"/>
    <s v="Bike Racks"/>
    <s v="Hitch Rack - 4-Bike"/>
    <n v="7"/>
    <n v="45"/>
    <n v="120"/>
    <n v="517"/>
    <n v="315"/>
    <n v="832"/>
  </r>
  <r>
    <d v="2013-09-02T00:00:00"/>
    <n v="2"/>
    <s v="September"/>
    <x v="0"/>
    <n v="29"/>
    <s v="Young Adults (25-34)"/>
    <x v="0"/>
    <x v="0"/>
    <x v="0"/>
    <s v="Accessories"/>
    <s v="Bike Racks"/>
    <s v="Hitch Rack - 4-Bike"/>
    <n v="2"/>
    <n v="45"/>
    <n v="120"/>
    <n v="148"/>
    <n v="90"/>
    <n v="238"/>
  </r>
  <r>
    <d v="2015-09-02T00:00:00"/>
    <n v="2"/>
    <s v="September"/>
    <x v="1"/>
    <n v="29"/>
    <s v="Young Adults (25-34)"/>
    <x v="0"/>
    <x v="0"/>
    <x v="0"/>
    <s v="Accessories"/>
    <s v="Bike Racks"/>
    <s v="Hitch Rack - 4-Bike"/>
    <n v="1"/>
    <n v="45"/>
    <n v="120"/>
    <n v="74"/>
    <n v="45"/>
    <n v="119"/>
  </r>
  <r>
    <d v="2014-01-22T00:00:00"/>
    <n v="22"/>
    <s v="January"/>
    <x v="2"/>
    <n v="29"/>
    <s v="Young Adults (25-34)"/>
    <x v="0"/>
    <x v="0"/>
    <x v="0"/>
    <s v="Accessories"/>
    <s v="Bike Racks"/>
    <s v="Hitch Rack - 4-Bike"/>
    <n v="1"/>
    <n v="45"/>
    <n v="120"/>
    <n v="74"/>
    <n v="45"/>
    <n v="119"/>
  </r>
  <r>
    <d v="2016-01-22T00:00:00"/>
    <n v="22"/>
    <s v="January"/>
    <x v="3"/>
    <n v="29"/>
    <s v="Young Adults (25-34)"/>
    <x v="0"/>
    <x v="0"/>
    <x v="0"/>
    <s v="Accessories"/>
    <s v="Bike Racks"/>
    <s v="Hitch Rack - 4-Bike"/>
    <n v="1"/>
    <n v="45"/>
    <n v="120"/>
    <n v="74"/>
    <n v="45"/>
    <n v="119"/>
  </r>
  <r>
    <d v="2014-05-17T00:00:00"/>
    <n v="17"/>
    <s v="May"/>
    <x v="2"/>
    <n v="29"/>
    <s v="Young Adults (25-34)"/>
    <x v="0"/>
    <x v="0"/>
    <x v="0"/>
    <s v="Accessories"/>
    <s v="Bike Racks"/>
    <s v="Hitch Rack - 4-Bike"/>
    <n v="6"/>
    <n v="45"/>
    <n v="120"/>
    <n v="443"/>
    <n v="270"/>
    <n v="713"/>
  </r>
  <r>
    <d v="2016-05-17T00:00:00"/>
    <n v="17"/>
    <s v="May"/>
    <x v="3"/>
    <n v="29"/>
    <s v="Young Adults (25-34)"/>
    <x v="0"/>
    <x v="0"/>
    <x v="0"/>
    <s v="Accessories"/>
    <s v="Bike Racks"/>
    <s v="Hitch Rack - 4-Bike"/>
    <n v="8"/>
    <n v="45"/>
    <n v="120"/>
    <n v="590"/>
    <n v="360"/>
    <n v="950"/>
  </r>
  <r>
    <d v="2014-03-27T00:00:00"/>
    <n v="27"/>
    <s v="March"/>
    <x v="2"/>
    <n v="51"/>
    <s v="Adults (35-64)"/>
    <x v="0"/>
    <x v="2"/>
    <x v="3"/>
    <s v="Accessories"/>
    <s v="Bike Racks"/>
    <s v="Hitch Rack - 4-Bike"/>
    <n v="9"/>
    <n v="45"/>
    <n v="120"/>
    <n v="524"/>
    <n v="405"/>
    <n v="929"/>
  </r>
  <r>
    <d v="2016-03-27T00:00:00"/>
    <n v="27"/>
    <s v="March"/>
    <x v="3"/>
    <n v="51"/>
    <s v="Adults (35-64)"/>
    <x v="0"/>
    <x v="2"/>
    <x v="3"/>
    <s v="Accessories"/>
    <s v="Bike Racks"/>
    <s v="Hitch Rack - 4-Bike"/>
    <n v="7"/>
    <n v="45"/>
    <n v="120"/>
    <n v="407"/>
    <n v="315"/>
    <n v="722"/>
  </r>
  <r>
    <d v="2013-08-25T00:00:00"/>
    <n v="25"/>
    <s v="August"/>
    <x v="0"/>
    <n v="49"/>
    <s v="Adults (35-64)"/>
    <x v="0"/>
    <x v="0"/>
    <x v="0"/>
    <s v="Accessories"/>
    <s v="Bike Racks"/>
    <s v="Hitch Rack - 4-Bike"/>
    <n v="3"/>
    <n v="45"/>
    <n v="120"/>
    <n v="221"/>
    <n v="135"/>
    <n v="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A6428-827B-4E4F-9169-6540B3A716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9"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 sortType="descending">
      <items count="4">
        <item sd="0" x="1"/>
        <item sd="0" x="0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2">
    <field x="7"/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item="1" hier="-1"/>
  </pageFields>
  <dataFields count="4">
    <dataField name="Sum of Revenue" fld="17" baseField="8" baseItem="2" numFmtId="164"/>
    <dataField name="Sum of Cost" fld="16" baseField="0" baseItem="0"/>
    <dataField name="Sum of Profit" fld="15" baseField="0" baseItem="0"/>
    <dataField name="Sum of CalculatedField" fld="18" baseField="0" baseItem="0"/>
  </dataFields>
  <formats count="8">
    <format dxfId="13">
      <pivotArea outline="0" collapsedLevelsAreSubtotals="1" fieldPosition="0"/>
    </format>
    <format dxfId="12">
      <pivotArea collapsedLevelsAreSubtotals="1" fieldPosition="0">
        <references count="1">
          <reference field="7" count="1">
            <x v="0"/>
          </reference>
        </references>
      </pivotArea>
    </format>
    <format dxfId="11">
      <pivotArea collapsedLevelsAreSubtotals="1" fieldPosition="0">
        <references count="2">
          <reference field="7" count="1" selected="0">
            <x v="0"/>
          </reference>
          <reference field="8" count="2">
            <x v="1"/>
            <x v="3"/>
          </reference>
        </references>
      </pivotArea>
    </format>
    <format dxfId="10">
      <pivotArea collapsedLevelsAreSubtotals="1" fieldPosition="0">
        <references count="1">
          <reference field="7" count="1">
            <x v="1"/>
          </reference>
        </references>
      </pivotArea>
    </format>
    <format dxfId="9">
      <pivotArea collapsedLevelsAreSubtotals="1" fieldPosition="0">
        <references count="2">
          <reference field="7" count="1" selected="0">
            <x v="1"/>
          </reference>
          <reference field="8" count="1">
            <x v="0"/>
          </reference>
        </references>
      </pivotArea>
    </format>
    <format dxfId="8">
      <pivotArea collapsedLevelsAreSubtotals="1" fieldPosition="0">
        <references count="1">
          <reference field="7" count="1">
            <x v="2"/>
          </reference>
        </references>
      </pivotArea>
    </format>
    <format dxfId="7">
      <pivotArea collapsedLevelsAreSubtotals="1" fieldPosition="0">
        <references count="2">
          <reference field="7" count="1" selected="0">
            <x v="2"/>
          </reference>
          <reference field="8" count="1">
            <x v="2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D3265-258D-4032-A510-2843DF1E1E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M8" firstHeaderRow="1" firstDataRow="2" firstDataCol="1"/>
  <pivotFields count="19">
    <pivotField numFmtId="14"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4">
        <item sd="0" x="1"/>
        <item sd="0" x="0"/>
        <item sd="0"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7"/>
    <field x="8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7" baseField="0" baseItem="0"/>
  </dataFields>
  <formats count="3">
    <format dxfId="16">
      <pivotArea collapsedLevelsAreSubtotals="1" fieldPosition="0">
        <references count="1">
          <reference field="7" count="1">
            <x v="0"/>
          </reference>
        </references>
      </pivotArea>
    </format>
    <format dxfId="15">
      <pivotArea collapsedLevelsAreSubtotals="1" fieldPosition="0">
        <references count="1">
          <reference field="7" count="1">
            <x v="1"/>
          </reference>
        </references>
      </pivotArea>
    </format>
    <format dxfId="14">
      <pivotArea collapsedLevelsAreSubtotals="1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D1" workbookViewId="0">
      <selection activeCell="G15" sqref="G15"/>
    </sheetView>
  </sheetViews>
  <sheetFormatPr defaultRowHeight="14.5" x14ac:dyDescent="0.35"/>
  <cols>
    <col min="1" max="1" width="10.453125" bestFit="1" customWidth="1"/>
    <col min="2" max="2" width="6.81640625" customWidth="1"/>
    <col min="3" max="3" width="9.90625" bestFit="1" customWidth="1"/>
    <col min="4" max="4" width="9.453125" customWidth="1"/>
    <col min="5" max="5" width="13.08984375" bestFit="1" customWidth="1"/>
    <col min="6" max="6" width="18.26953125" bestFit="1" customWidth="1"/>
    <col min="7" max="7" width="16.1796875" bestFit="1" customWidth="1"/>
    <col min="8" max="8" width="14.1796875" bestFit="1" customWidth="1"/>
    <col min="9" max="9" width="15.453125" bestFit="1" customWidth="1"/>
    <col min="10" max="10" width="15.7265625" bestFit="1" customWidth="1"/>
    <col min="11" max="11" width="12.26953125" bestFit="1" customWidth="1"/>
    <col min="12" max="12" width="16.08984375" bestFit="1" customWidth="1"/>
    <col min="13" max="13" width="14" bestFit="1" customWidth="1"/>
    <col min="14" max="14" width="8.90625" bestFit="1" customWidth="1"/>
    <col min="15" max="15" width="9.26953125" bestFit="1" customWidth="1"/>
    <col min="16" max="16" width="8" customWidth="1"/>
  </cols>
  <sheetData>
    <row r="1" spans="1:18" s="3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5">
      <c r="A2" s="2">
        <v>41604</v>
      </c>
      <c r="B2" s="1">
        <v>26</v>
      </c>
      <c r="C2" s="1" t="s">
        <v>18</v>
      </c>
      <c r="D2" s="1">
        <v>2013</v>
      </c>
      <c r="E2" s="1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8</v>
      </c>
      <c r="N2" s="1">
        <v>45</v>
      </c>
      <c r="O2" s="1">
        <v>120</v>
      </c>
      <c r="P2" s="1">
        <v>590</v>
      </c>
      <c r="Q2" s="1">
        <v>360</v>
      </c>
      <c r="R2" s="1">
        <v>950</v>
      </c>
    </row>
    <row r="3" spans="1:18" x14ac:dyDescent="0.35">
      <c r="A3" s="2">
        <v>42334</v>
      </c>
      <c r="B3" s="1">
        <v>26</v>
      </c>
      <c r="C3" s="1" t="s">
        <v>18</v>
      </c>
      <c r="D3" s="1">
        <v>2015</v>
      </c>
      <c r="E3" s="1">
        <v>19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8</v>
      </c>
      <c r="N3" s="1">
        <v>45</v>
      </c>
      <c r="O3" s="1">
        <v>120</v>
      </c>
      <c r="P3" s="1">
        <v>590</v>
      </c>
      <c r="Q3" s="1">
        <v>360</v>
      </c>
      <c r="R3" s="1">
        <v>950</v>
      </c>
    </row>
    <row r="4" spans="1:18" x14ac:dyDescent="0.35">
      <c r="A4" s="2">
        <v>41721</v>
      </c>
      <c r="B4" s="1">
        <v>23</v>
      </c>
      <c r="C4" s="1" t="s">
        <v>26</v>
      </c>
      <c r="D4" s="1">
        <v>2014</v>
      </c>
      <c r="E4" s="1">
        <v>49</v>
      </c>
      <c r="F4" s="1" t="s">
        <v>27</v>
      </c>
      <c r="G4" s="1" t="s">
        <v>20</v>
      </c>
      <c r="H4" s="1" t="s">
        <v>28</v>
      </c>
      <c r="I4" s="1" t="s">
        <v>29</v>
      </c>
      <c r="J4" s="1" t="s">
        <v>23</v>
      </c>
      <c r="K4" s="1" t="s">
        <v>24</v>
      </c>
      <c r="L4" s="1" t="s">
        <v>25</v>
      </c>
      <c r="M4" s="1">
        <v>23</v>
      </c>
      <c r="N4" s="1">
        <v>45</v>
      </c>
      <c r="O4" s="1">
        <v>120</v>
      </c>
      <c r="P4" s="1">
        <v>1366</v>
      </c>
      <c r="Q4" s="1">
        <v>1035</v>
      </c>
      <c r="R4" s="1">
        <v>2401</v>
      </c>
    </row>
    <row r="5" spans="1:18" x14ac:dyDescent="0.35">
      <c r="A5" s="2">
        <v>42452</v>
      </c>
      <c r="B5" s="1">
        <v>23</v>
      </c>
      <c r="C5" s="1" t="s">
        <v>26</v>
      </c>
      <c r="D5" s="1">
        <v>2016</v>
      </c>
      <c r="E5" s="1">
        <v>49</v>
      </c>
      <c r="F5" s="1" t="s">
        <v>27</v>
      </c>
      <c r="G5" s="1" t="s">
        <v>20</v>
      </c>
      <c r="H5" s="1" t="s">
        <v>28</v>
      </c>
      <c r="I5" s="1" t="s">
        <v>29</v>
      </c>
      <c r="J5" s="1" t="s">
        <v>23</v>
      </c>
      <c r="K5" s="1" t="s">
        <v>24</v>
      </c>
      <c r="L5" s="1" t="s">
        <v>25</v>
      </c>
      <c r="M5" s="1">
        <v>20</v>
      </c>
      <c r="N5" s="1">
        <v>45</v>
      </c>
      <c r="O5" s="1">
        <v>120</v>
      </c>
      <c r="P5" s="1">
        <v>1188</v>
      </c>
      <c r="Q5" s="1">
        <v>900</v>
      </c>
      <c r="R5" s="1">
        <v>2088</v>
      </c>
    </row>
    <row r="6" spans="1:18" x14ac:dyDescent="0.35">
      <c r="A6" s="2">
        <v>41774</v>
      </c>
      <c r="B6" s="1">
        <v>15</v>
      </c>
      <c r="C6" s="1" t="s">
        <v>30</v>
      </c>
      <c r="D6" s="1">
        <v>2014</v>
      </c>
      <c r="E6" s="1">
        <v>47</v>
      </c>
      <c r="F6" s="1" t="s">
        <v>27</v>
      </c>
      <c r="G6" s="1" t="s">
        <v>31</v>
      </c>
      <c r="H6" s="1" t="s">
        <v>28</v>
      </c>
      <c r="I6" s="1" t="s">
        <v>29</v>
      </c>
      <c r="J6" s="1" t="s">
        <v>23</v>
      </c>
      <c r="K6" s="1" t="s">
        <v>24</v>
      </c>
      <c r="L6" s="1" t="s">
        <v>25</v>
      </c>
      <c r="M6" s="1">
        <v>4</v>
      </c>
      <c r="N6" s="1">
        <v>45</v>
      </c>
      <c r="O6" s="1">
        <v>120</v>
      </c>
      <c r="P6" s="1">
        <v>238</v>
      </c>
      <c r="Q6" s="1">
        <v>180</v>
      </c>
      <c r="R6" s="1">
        <v>418</v>
      </c>
    </row>
    <row r="7" spans="1:18" x14ac:dyDescent="0.35">
      <c r="A7" s="2">
        <v>42505</v>
      </c>
      <c r="B7" s="1">
        <v>15</v>
      </c>
      <c r="C7" s="1" t="s">
        <v>30</v>
      </c>
      <c r="D7" s="1">
        <v>2016</v>
      </c>
      <c r="E7" s="1">
        <v>47</v>
      </c>
      <c r="F7" s="1" t="s">
        <v>27</v>
      </c>
      <c r="G7" s="1" t="s">
        <v>31</v>
      </c>
      <c r="H7" s="1" t="s">
        <v>28</v>
      </c>
      <c r="I7" s="1" t="s">
        <v>29</v>
      </c>
      <c r="J7" s="1" t="s">
        <v>23</v>
      </c>
      <c r="K7" s="1" t="s">
        <v>24</v>
      </c>
      <c r="L7" s="1" t="s">
        <v>25</v>
      </c>
      <c r="M7" s="1">
        <v>5</v>
      </c>
      <c r="N7" s="1">
        <v>45</v>
      </c>
      <c r="O7" s="1">
        <v>120</v>
      </c>
      <c r="P7" s="1">
        <v>297</v>
      </c>
      <c r="Q7" s="1">
        <v>225</v>
      </c>
      <c r="R7" s="1">
        <v>522</v>
      </c>
    </row>
    <row r="8" spans="1:18" x14ac:dyDescent="0.35">
      <c r="A8" s="2">
        <v>41781</v>
      </c>
      <c r="B8" s="1">
        <v>22</v>
      </c>
      <c r="C8" s="1" t="s">
        <v>30</v>
      </c>
      <c r="D8" s="1">
        <v>2014</v>
      </c>
      <c r="E8" s="1">
        <v>47</v>
      </c>
      <c r="F8" s="1" t="s">
        <v>27</v>
      </c>
      <c r="G8" s="1" t="s">
        <v>31</v>
      </c>
      <c r="H8" s="1" t="s">
        <v>28</v>
      </c>
      <c r="I8" s="1" t="s">
        <v>32</v>
      </c>
      <c r="J8" s="1" t="s">
        <v>23</v>
      </c>
      <c r="K8" s="1" t="s">
        <v>24</v>
      </c>
      <c r="L8" s="1" t="s">
        <v>25</v>
      </c>
      <c r="M8" s="1">
        <v>4</v>
      </c>
      <c r="N8" s="1">
        <v>45</v>
      </c>
      <c r="O8" s="1">
        <v>120</v>
      </c>
      <c r="P8" s="1">
        <v>199</v>
      </c>
      <c r="Q8" s="1">
        <v>180</v>
      </c>
      <c r="R8" s="1">
        <v>379</v>
      </c>
    </row>
    <row r="9" spans="1:18" x14ac:dyDescent="0.35">
      <c r="A9" s="2">
        <v>42512</v>
      </c>
      <c r="B9" s="1">
        <v>22</v>
      </c>
      <c r="C9" s="1" t="s">
        <v>30</v>
      </c>
      <c r="D9" s="1">
        <v>2016</v>
      </c>
      <c r="E9" s="1">
        <v>47</v>
      </c>
      <c r="F9" s="1" t="s">
        <v>27</v>
      </c>
      <c r="G9" s="1" t="s">
        <v>31</v>
      </c>
      <c r="H9" s="1" t="s">
        <v>28</v>
      </c>
      <c r="I9" s="1" t="s">
        <v>32</v>
      </c>
      <c r="J9" s="1" t="s">
        <v>23</v>
      </c>
      <c r="K9" s="1" t="s">
        <v>24</v>
      </c>
      <c r="L9" s="1" t="s">
        <v>25</v>
      </c>
      <c r="M9" s="1">
        <v>2</v>
      </c>
      <c r="N9" s="1">
        <v>45</v>
      </c>
      <c r="O9" s="1">
        <v>120</v>
      </c>
      <c r="P9" s="1">
        <v>100</v>
      </c>
      <c r="Q9" s="1">
        <v>90</v>
      </c>
      <c r="R9" s="1">
        <v>190</v>
      </c>
    </row>
    <row r="10" spans="1:18" x14ac:dyDescent="0.35">
      <c r="A10" s="2">
        <v>41692</v>
      </c>
      <c r="B10" s="1">
        <v>22</v>
      </c>
      <c r="C10" s="1" t="s">
        <v>33</v>
      </c>
      <c r="D10" s="1">
        <v>2014</v>
      </c>
      <c r="E10" s="1">
        <v>35</v>
      </c>
      <c r="F10" s="1" t="s">
        <v>27</v>
      </c>
      <c r="G10" s="1" t="s">
        <v>20</v>
      </c>
      <c r="H10" s="1" t="s">
        <v>28</v>
      </c>
      <c r="I10" s="1" t="s">
        <v>32</v>
      </c>
      <c r="J10" s="1" t="s">
        <v>23</v>
      </c>
      <c r="K10" s="1" t="s">
        <v>24</v>
      </c>
      <c r="L10" s="1" t="s">
        <v>25</v>
      </c>
      <c r="M10" s="1">
        <v>22</v>
      </c>
      <c r="N10" s="1">
        <v>45</v>
      </c>
      <c r="O10" s="1">
        <v>120</v>
      </c>
      <c r="P10" s="1">
        <v>1096</v>
      </c>
      <c r="Q10" s="1">
        <v>990</v>
      </c>
      <c r="R10" s="1">
        <v>2086</v>
      </c>
    </row>
    <row r="11" spans="1:18" x14ac:dyDescent="0.35">
      <c r="A11" s="2">
        <v>42422</v>
      </c>
      <c r="B11" s="1">
        <v>22</v>
      </c>
      <c r="C11" s="1" t="s">
        <v>33</v>
      </c>
      <c r="D11" s="1">
        <v>2016</v>
      </c>
      <c r="E11" s="1">
        <v>35</v>
      </c>
      <c r="F11" s="1" t="s">
        <v>27</v>
      </c>
      <c r="G11" s="1" t="s">
        <v>20</v>
      </c>
      <c r="H11" s="1" t="s">
        <v>28</v>
      </c>
      <c r="I11" s="1" t="s">
        <v>32</v>
      </c>
      <c r="J11" s="1" t="s">
        <v>23</v>
      </c>
      <c r="K11" s="1" t="s">
        <v>24</v>
      </c>
      <c r="L11" s="1" t="s">
        <v>25</v>
      </c>
      <c r="M11" s="1">
        <v>21</v>
      </c>
      <c r="N11" s="1">
        <v>45</v>
      </c>
      <c r="O11" s="1">
        <v>120</v>
      </c>
      <c r="P11" s="1">
        <v>1046</v>
      </c>
      <c r="Q11" s="1">
        <v>945</v>
      </c>
      <c r="R11" s="1">
        <v>1991</v>
      </c>
    </row>
    <row r="12" spans="1:18" x14ac:dyDescent="0.35">
      <c r="A12" s="2">
        <v>41485</v>
      </c>
      <c r="B12" s="1">
        <v>30</v>
      </c>
      <c r="C12" s="1" t="s">
        <v>34</v>
      </c>
      <c r="D12" s="1">
        <v>2013</v>
      </c>
      <c r="E12" s="1">
        <v>32</v>
      </c>
      <c r="F12" s="1" t="s">
        <v>35</v>
      </c>
      <c r="G12" s="1" t="s">
        <v>31</v>
      </c>
      <c r="H12" s="1" t="s">
        <v>28</v>
      </c>
      <c r="I12" s="1" t="s">
        <v>32</v>
      </c>
      <c r="J12" s="1" t="s">
        <v>23</v>
      </c>
      <c r="K12" s="1" t="s">
        <v>24</v>
      </c>
      <c r="L12" s="1" t="s">
        <v>25</v>
      </c>
      <c r="M12" s="1">
        <v>8</v>
      </c>
      <c r="N12" s="1">
        <v>45</v>
      </c>
      <c r="O12" s="1">
        <v>120</v>
      </c>
      <c r="P12" s="1">
        <v>398</v>
      </c>
      <c r="Q12" s="1">
        <v>360</v>
      </c>
      <c r="R12" s="1">
        <v>758</v>
      </c>
    </row>
    <row r="13" spans="1:18" x14ac:dyDescent="0.35">
      <c r="A13" s="2">
        <v>42215</v>
      </c>
      <c r="B13" s="1">
        <v>30</v>
      </c>
      <c r="C13" s="1" t="s">
        <v>34</v>
      </c>
      <c r="D13" s="1">
        <v>2015</v>
      </c>
      <c r="E13" s="1">
        <v>32</v>
      </c>
      <c r="F13" s="1" t="s">
        <v>35</v>
      </c>
      <c r="G13" s="1" t="s">
        <v>31</v>
      </c>
      <c r="H13" s="1" t="s">
        <v>28</v>
      </c>
      <c r="I13" s="1" t="s">
        <v>32</v>
      </c>
      <c r="J13" s="1" t="s">
        <v>23</v>
      </c>
      <c r="K13" s="1" t="s">
        <v>24</v>
      </c>
      <c r="L13" s="1" t="s">
        <v>25</v>
      </c>
      <c r="M13" s="1">
        <v>8</v>
      </c>
      <c r="N13" s="1">
        <v>45</v>
      </c>
      <c r="O13" s="1">
        <v>120</v>
      </c>
      <c r="P13" s="1">
        <v>398</v>
      </c>
      <c r="Q13" s="1">
        <v>360</v>
      </c>
      <c r="R13" s="1">
        <v>758</v>
      </c>
    </row>
    <row r="14" spans="1:18" x14ac:dyDescent="0.35">
      <c r="A14" s="2">
        <v>41470</v>
      </c>
      <c r="B14" s="1">
        <v>15</v>
      </c>
      <c r="C14" s="1" t="s">
        <v>34</v>
      </c>
      <c r="D14" s="1">
        <v>2013</v>
      </c>
      <c r="E14" s="1">
        <v>34</v>
      </c>
      <c r="F14" s="1" t="s">
        <v>35</v>
      </c>
      <c r="G14" s="1" t="s">
        <v>20</v>
      </c>
      <c r="H14" s="1" t="s">
        <v>28</v>
      </c>
      <c r="I14" s="1" t="s">
        <v>32</v>
      </c>
      <c r="J14" s="1" t="s">
        <v>23</v>
      </c>
      <c r="K14" s="1" t="s">
        <v>24</v>
      </c>
      <c r="L14" s="1" t="s">
        <v>25</v>
      </c>
      <c r="M14" s="1">
        <v>7</v>
      </c>
      <c r="N14" s="1">
        <v>45</v>
      </c>
      <c r="O14" s="1">
        <v>120</v>
      </c>
      <c r="P14" s="1">
        <v>349</v>
      </c>
      <c r="Q14" s="1">
        <v>315</v>
      </c>
      <c r="R14" s="1">
        <v>664</v>
      </c>
    </row>
    <row r="15" spans="1:18" x14ac:dyDescent="0.35">
      <c r="A15" s="2">
        <v>42200</v>
      </c>
      <c r="B15" s="1">
        <v>15</v>
      </c>
      <c r="C15" s="1" t="s">
        <v>34</v>
      </c>
      <c r="D15" s="1">
        <v>2015</v>
      </c>
      <c r="E15" s="1">
        <v>34</v>
      </c>
      <c r="F15" s="1" t="s">
        <v>35</v>
      </c>
      <c r="G15" s="1" t="s">
        <v>20</v>
      </c>
      <c r="H15" s="1" t="s">
        <v>28</v>
      </c>
      <c r="I15" s="1" t="s">
        <v>32</v>
      </c>
      <c r="J15" s="1" t="s">
        <v>23</v>
      </c>
      <c r="K15" s="1" t="s">
        <v>24</v>
      </c>
      <c r="L15" s="1" t="s">
        <v>25</v>
      </c>
      <c r="M15" s="1">
        <v>7</v>
      </c>
      <c r="N15" s="1">
        <v>45</v>
      </c>
      <c r="O15" s="1">
        <v>120</v>
      </c>
      <c r="P15" s="1">
        <v>349</v>
      </c>
      <c r="Q15" s="1">
        <v>315</v>
      </c>
      <c r="R15" s="1">
        <v>664</v>
      </c>
    </row>
    <row r="16" spans="1:18" x14ac:dyDescent="0.35">
      <c r="A16" s="2">
        <v>41488</v>
      </c>
      <c r="B16" s="1">
        <v>2</v>
      </c>
      <c r="C16" s="1" t="s">
        <v>36</v>
      </c>
      <c r="D16" s="1">
        <v>2013</v>
      </c>
      <c r="E16" s="1">
        <v>29</v>
      </c>
      <c r="F16" s="1" t="s">
        <v>35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>
        <v>5</v>
      </c>
      <c r="N16" s="1">
        <v>45</v>
      </c>
      <c r="O16" s="1">
        <v>120</v>
      </c>
      <c r="P16" s="1">
        <v>369</v>
      </c>
      <c r="Q16" s="1">
        <v>225</v>
      </c>
      <c r="R16" s="1">
        <v>594</v>
      </c>
    </row>
    <row r="17" spans="1:18" x14ac:dyDescent="0.35">
      <c r="A17" s="2">
        <v>42218</v>
      </c>
      <c r="B17" s="1">
        <v>2</v>
      </c>
      <c r="C17" s="1" t="s">
        <v>36</v>
      </c>
      <c r="D17" s="1">
        <v>2015</v>
      </c>
      <c r="E17" s="1">
        <v>29</v>
      </c>
      <c r="F17" s="1" t="s">
        <v>35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>
        <v>7</v>
      </c>
      <c r="N17" s="1">
        <v>45</v>
      </c>
      <c r="O17" s="1">
        <v>120</v>
      </c>
      <c r="P17" s="1">
        <v>517</v>
      </c>
      <c r="Q17" s="1">
        <v>315</v>
      </c>
      <c r="R17" s="1">
        <v>832</v>
      </c>
    </row>
    <row r="18" spans="1:18" x14ac:dyDescent="0.35">
      <c r="A18" s="2">
        <v>41519</v>
      </c>
      <c r="B18" s="1">
        <v>2</v>
      </c>
      <c r="C18" s="1" t="s">
        <v>37</v>
      </c>
      <c r="D18" s="1">
        <v>2013</v>
      </c>
      <c r="E18" s="1">
        <v>29</v>
      </c>
      <c r="F18" s="1" t="s">
        <v>35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>
        <v>2</v>
      </c>
      <c r="N18" s="1">
        <v>45</v>
      </c>
      <c r="O18" s="1">
        <v>120</v>
      </c>
      <c r="P18" s="1">
        <v>148</v>
      </c>
      <c r="Q18" s="1">
        <v>90</v>
      </c>
      <c r="R18" s="1">
        <v>238</v>
      </c>
    </row>
    <row r="19" spans="1:18" x14ac:dyDescent="0.35">
      <c r="A19" s="2">
        <v>42249</v>
      </c>
      <c r="B19" s="1">
        <v>2</v>
      </c>
      <c r="C19" s="1" t="s">
        <v>37</v>
      </c>
      <c r="D19" s="1">
        <v>2015</v>
      </c>
      <c r="E19" s="1">
        <v>29</v>
      </c>
      <c r="F19" s="1" t="s">
        <v>35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>
        <v>1</v>
      </c>
      <c r="N19" s="1">
        <v>45</v>
      </c>
      <c r="O19" s="1">
        <v>120</v>
      </c>
      <c r="P19" s="1">
        <v>74</v>
      </c>
      <c r="Q19" s="1">
        <v>45</v>
      </c>
      <c r="R19" s="1">
        <v>119</v>
      </c>
    </row>
    <row r="20" spans="1:18" x14ac:dyDescent="0.35">
      <c r="A20" s="2">
        <v>41661</v>
      </c>
      <c r="B20" s="1">
        <v>22</v>
      </c>
      <c r="C20" s="1" t="s">
        <v>38</v>
      </c>
      <c r="D20" s="1">
        <v>2014</v>
      </c>
      <c r="E20" s="1">
        <v>29</v>
      </c>
      <c r="F20" s="1" t="s">
        <v>35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>
        <v>1</v>
      </c>
      <c r="N20" s="1">
        <v>45</v>
      </c>
      <c r="O20" s="1">
        <v>120</v>
      </c>
      <c r="P20" s="1">
        <v>74</v>
      </c>
      <c r="Q20" s="1">
        <v>45</v>
      </c>
      <c r="R20" s="1">
        <v>119</v>
      </c>
    </row>
    <row r="21" spans="1:18" x14ac:dyDescent="0.35">
      <c r="A21" s="2">
        <v>42391</v>
      </c>
      <c r="B21" s="1">
        <v>22</v>
      </c>
      <c r="C21" s="1" t="s">
        <v>38</v>
      </c>
      <c r="D21" s="1">
        <v>2016</v>
      </c>
      <c r="E21" s="1">
        <v>29</v>
      </c>
      <c r="F21" s="1" t="s">
        <v>35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>
        <v>1</v>
      </c>
      <c r="N21" s="1">
        <v>45</v>
      </c>
      <c r="O21" s="1">
        <v>120</v>
      </c>
      <c r="P21" s="1">
        <v>74</v>
      </c>
      <c r="Q21" s="1">
        <v>45</v>
      </c>
      <c r="R21" s="1">
        <v>119</v>
      </c>
    </row>
    <row r="22" spans="1:18" x14ac:dyDescent="0.35">
      <c r="A22" s="2">
        <v>41776</v>
      </c>
      <c r="B22" s="1">
        <v>17</v>
      </c>
      <c r="C22" s="1" t="s">
        <v>30</v>
      </c>
      <c r="D22" s="1">
        <v>2014</v>
      </c>
      <c r="E22" s="1">
        <v>29</v>
      </c>
      <c r="F22" s="1" t="s">
        <v>35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1" t="s">
        <v>25</v>
      </c>
      <c r="M22" s="1">
        <v>6</v>
      </c>
      <c r="N22" s="1">
        <v>45</v>
      </c>
      <c r="O22" s="1">
        <v>120</v>
      </c>
      <c r="P22" s="1">
        <v>443</v>
      </c>
      <c r="Q22" s="1">
        <v>270</v>
      </c>
      <c r="R22" s="1">
        <v>713</v>
      </c>
    </row>
    <row r="23" spans="1:18" x14ac:dyDescent="0.35">
      <c r="A23" s="2">
        <v>42507</v>
      </c>
      <c r="B23" s="1">
        <v>17</v>
      </c>
      <c r="C23" s="1" t="s">
        <v>30</v>
      </c>
      <c r="D23" s="1">
        <v>2016</v>
      </c>
      <c r="E23" s="1">
        <v>29</v>
      </c>
      <c r="F23" s="1" t="s">
        <v>35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  <c r="L23" s="1" t="s">
        <v>25</v>
      </c>
      <c r="M23" s="1">
        <v>8</v>
      </c>
      <c r="N23" s="1">
        <v>45</v>
      </c>
      <c r="O23" s="1">
        <v>120</v>
      </c>
      <c r="P23" s="1">
        <v>590</v>
      </c>
      <c r="Q23" s="1">
        <v>360</v>
      </c>
      <c r="R23" s="1">
        <v>950</v>
      </c>
    </row>
    <row r="24" spans="1:18" x14ac:dyDescent="0.35">
      <c r="A24" s="2">
        <v>41725</v>
      </c>
      <c r="B24" s="1">
        <v>27</v>
      </c>
      <c r="C24" s="1" t="s">
        <v>26</v>
      </c>
      <c r="D24" s="1">
        <v>2014</v>
      </c>
      <c r="E24" s="1">
        <v>51</v>
      </c>
      <c r="F24" s="1" t="s">
        <v>27</v>
      </c>
      <c r="G24" s="1" t="s">
        <v>20</v>
      </c>
      <c r="H24" s="1" t="s">
        <v>39</v>
      </c>
      <c r="I24" s="1" t="s">
        <v>40</v>
      </c>
      <c r="J24" s="1" t="s">
        <v>23</v>
      </c>
      <c r="K24" s="1" t="s">
        <v>24</v>
      </c>
      <c r="L24" s="1" t="s">
        <v>25</v>
      </c>
      <c r="M24" s="1">
        <v>9</v>
      </c>
      <c r="N24" s="1">
        <v>45</v>
      </c>
      <c r="O24" s="1">
        <v>120</v>
      </c>
      <c r="P24" s="1">
        <v>524</v>
      </c>
      <c r="Q24" s="1">
        <v>405</v>
      </c>
      <c r="R24" s="1">
        <v>929</v>
      </c>
    </row>
    <row r="25" spans="1:18" x14ac:dyDescent="0.35">
      <c r="A25" s="2">
        <v>42456</v>
      </c>
      <c r="B25" s="1">
        <v>27</v>
      </c>
      <c r="C25" s="1" t="s">
        <v>26</v>
      </c>
      <c r="D25" s="1">
        <v>2016</v>
      </c>
      <c r="E25" s="1">
        <v>51</v>
      </c>
      <c r="F25" s="1" t="s">
        <v>27</v>
      </c>
      <c r="G25" s="1" t="s">
        <v>20</v>
      </c>
      <c r="H25" s="1" t="s">
        <v>39</v>
      </c>
      <c r="I25" s="1" t="s">
        <v>40</v>
      </c>
      <c r="J25" s="1" t="s">
        <v>23</v>
      </c>
      <c r="K25" s="1" t="s">
        <v>24</v>
      </c>
      <c r="L25" s="1" t="s">
        <v>25</v>
      </c>
      <c r="M25" s="1">
        <v>7</v>
      </c>
      <c r="N25" s="1">
        <v>45</v>
      </c>
      <c r="O25" s="1">
        <v>120</v>
      </c>
      <c r="P25" s="1">
        <v>407</v>
      </c>
      <c r="Q25" s="1">
        <v>315</v>
      </c>
      <c r="R25" s="1">
        <v>722</v>
      </c>
    </row>
    <row r="26" spans="1:18" x14ac:dyDescent="0.35">
      <c r="A26" s="2">
        <v>41511</v>
      </c>
      <c r="B26" s="1">
        <v>25</v>
      </c>
      <c r="C26" s="1" t="s">
        <v>36</v>
      </c>
      <c r="D26" s="1">
        <v>2013</v>
      </c>
      <c r="E26" s="1">
        <v>49</v>
      </c>
      <c r="F26" s="1" t="s">
        <v>27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>
        <v>3</v>
      </c>
      <c r="N26" s="1">
        <v>45</v>
      </c>
      <c r="O26" s="1">
        <v>120</v>
      </c>
      <c r="P26" s="1">
        <v>221</v>
      </c>
      <c r="Q26" s="1">
        <v>135</v>
      </c>
      <c r="R26" s="1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7019-F256-4AB4-B266-C5C51A5D04C5}">
  <dimension ref="A1:M8"/>
  <sheetViews>
    <sheetView tabSelected="1" workbookViewId="0">
      <selection activeCell="H5" sqref="H5"/>
    </sheetView>
  </sheetViews>
  <sheetFormatPr defaultRowHeight="14.5" x14ac:dyDescent="0.35"/>
  <cols>
    <col min="1" max="1" width="16.1796875" bestFit="1" customWidth="1"/>
    <col min="2" max="2" width="14.36328125" bestFit="1" customWidth="1"/>
    <col min="3" max="3" width="10.81640625" bestFit="1" customWidth="1"/>
    <col min="4" max="4" width="11.81640625" bestFit="1" customWidth="1"/>
    <col min="5" max="5" width="19.90625" bestFit="1" customWidth="1"/>
    <col min="8" max="8" width="14.36328125" bestFit="1" customWidth="1"/>
    <col min="9" max="9" width="15.26953125" bestFit="1" customWidth="1"/>
    <col min="10" max="12" width="8.90625" bestFit="1" customWidth="1"/>
    <col min="13" max="13" width="10.7265625" bestFit="1" customWidth="1"/>
  </cols>
  <sheetData>
    <row r="1" spans="1:13" x14ac:dyDescent="0.35">
      <c r="A1" s="5" t="s">
        <v>6</v>
      </c>
      <c r="B1" t="s">
        <v>20</v>
      </c>
    </row>
    <row r="3" spans="1:13" x14ac:dyDescent="0.35">
      <c r="A3" s="5" t="s">
        <v>41</v>
      </c>
      <c r="B3" t="s">
        <v>43</v>
      </c>
      <c r="C3" t="s">
        <v>44</v>
      </c>
      <c r="D3" t="s">
        <v>45</v>
      </c>
      <c r="E3" t="s">
        <v>46</v>
      </c>
      <c r="H3" s="5" t="s">
        <v>43</v>
      </c>
      <c r="I3" s="5" t="s">
        <v>47</v>
      </c>
    </row>
    <row r="4" spans="1:13" x14ac:dyDescent="0.35">
      <c r="A4" s="6" t="s">
        <v>28</v>
      </c>
      <c r="B4" s="7">
        <v>9894</v>
      </c>
      <c r="C4" s="8">
        <v>4500</v>
      </c>
      <c r="D4" s="8">
        <v>5394</v>
      </c>
      <c r="E4" s="8">
        <v>5394</v>
      </c>
      <c r="H4" s="5" t="s">
        <v>41</v>
      </c>
      <c r="I4">
        <v>2013</v>
      </c>
      <c r="J4">
        <v>2014</v>
      </c>
      <c r="K4">
        <v>2015</v>
      </c>
      <c r="L4">
        <v>2016</v>
      </c>
      <c r="M4" t="s">
        <v>42</v>
      </c>
    </row>
    <row r="5" spans="1:13" x14ac:dyDescent="0.35">
      <c r="A5" s="6" t="s">
        <v>21</v>
      </c>
      <c r="B5" s="7">
        <v>5940</v>
      </c>
      <c r="C5" s="8">
        <v>2250</v>
      </c>
      <c r="D5" s="8">
        <v>3690</v>
      </c>
      <c r="E5" s="8">
        <v>3690</v>
      </c>
      <c r="H5" s="6" t="s">
        <v>28</v>
      </c>
      <c r="I5" s="7">
        <v>1422</v>
      </c>
      <c r="J5" s="7">
        <v>5284</v>
      </c>
      <c r="K5" s="7">
        <v>1422</v>
      </c>
      <c r="L5" s="7">
        <v>4791</v>
      </c>
      <c r="M5" s="7">
        <v>12919</v>
      </c>
    </row>
    <row r="6" spans="1:13" x14ac:dyDescent="0.35">
      <c r="A6" s="6" t="s">
        <v>39</v>
      </c>
      <c r="B6" s="7">
        <v>1651</v>
      </c>
      <c r="C6" s="8">
        <v>720</v>
      </c>
      <c r="D6" s="8">
        <v>931</v>
      </c>
      <c r="E6" s="8">
        <v>931</v>
      </c>
      <c r="H6" s="6" t="s">
        <v>21</v>
      </c>
      <c r="I6" s="7">
        <v>2138</v>
      </c>
      <c r="J6" s="7">
        <v>832</v>
      </c>
      <c r="K6" s="7">
        <v>1901</v>
      </c>
      <c r="L6" s="7">
        <v>1069</v>
      </c>
      <c r="M6" s="7">
        <v>5940</v>
      </c>
    </row>
    <row r="7" spans="1:13" x14ac:dyDescent="0.35">
      <c r="A7" s="6" t="s">
        <v>42</v>
      </c>
      <c r="B7" s="7">
        <v>17485</v>
      </c>
      <c r="C7" s="7">
        <v>7470</v>
      </c>
      <c r="D7" s="7">
        <v>10015</v>
      </c>
      <c r="E7" s="7">
        <v>10015</v>
      </c>
      <c r="H7" s="6" t="s">
        <v>39</v>
      </c>
      <c r="I7" s="7"/>
      <c r="J7" s="7">
        <v>929</v>
      </c>
      <c r="K7" s="7"/>
      <c r="L7" s="7">
        <v>722</v>
      </c>
      <c r="M7" s="7">
        <v>1651</v>
      </c>
    </row>
    <row r="8" spans="1:13" x14ac:dyDescent="0.35">
      <c r="H8" s="6" t="s">
        <v>42</v>
      </c>
      <c r="I8" s="9">
        <v>3560</v>
      </c>
      <c r="J8" s="9">
        <v>7045</v>
      </c>
      <c r="K8" s="9">
        <v>3323</v>
      </c>
      <c r="L8" s="9">
        <v>6582</v>
      </c>
      <c r="M8" s="9">
        <v>20510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Seelamsetti Vyshnavi</dc:creator>
  <cp:lastModifiedBy>Seelamsetti Vyshnavi</cp:lastModifiedBy>
  <dcterms:created xsi:type="dcterms:W3CDTF">2015-06-05T18:17:20Z</dcterms:created>
  <dcterms:modified xsi:type="dcterms:W3CDTF">2026-01-29T17:31:08Z</dcterms:modified>
</cp:coreProperties>
</file>